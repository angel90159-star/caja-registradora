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guel.escobarr\Downloads\"/>
    </mc:Choice>
  </mc:AlternateContent>
  <xr:revisionPtr revIDLastSave="0" documentId="13_ncr:1_{F7F580CA-5F99-4C7B-A706-B2A9E86595E8}" xr6:coauthVersionLast="47" xr6:coauthVersionMax="47" xr10:uidLastSave="{00000000-0000-0000-0000-000000000000}"/>
  <bookViews>
    <workbookView xWindow="28680" yWindow="-120" windowWidth="29040" windowHeight="15720" xr2:uid="{E3B877FA-23B8-4F4F-9DAF-DA1027805D1A}"/>
  </bookViews>
  <sheets>
    <sheet name="contador" sheetId="1" r:id="rId1"/>
    <sheet name="billetes" sheetId="3" r:id="rId2"/>
    <sheet name="terminal tarjeta" sheetId="2" r:id="rId3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4" i="1" l="1"/>
  <c r="I25" i="1"/>
  <c r="I22" i="1"/>
  <c r="I23" i="1"/>
  <c r="I24" i="1"/>
  <c r="M23" i="1" l="1"/>
  <c r="M22" i="1"/>
  <c r="G17" i="1"/>
  <c r="H17" i="1"/>
  <c r="I7" i="1" l="1"/>
  <c r="F11" i="2"/>
  <c r="D14" i="2" s="1"/>
  <c r="I13" i="1"/>
  <c r="J13" i="1"/>
  <c r="I17" i="1"/>
  <c r="J17" i="1"/>
  <c r="H13" i="1"/>
  <c r="G13" i="1"/>
  <c r="L13" i="1"/>
  <c r="C11" i="2"/>
  <c r="K13" i="1"/>
  <c r="M17" i="1"/>
  <c r="M13" i="1" l="1"/>
  <c r="K17" i="1" s="1"/>
</calcChain>
</file>

<file path=xl/sharedStrings.xml><?xml version="1.0" encoding="utf-8"?>
<sst xmlns="http://schemas.openxmlformats.org/spreadsheetml/2006/main" count="42" uniqueCount="34">
  <si>
    <t>Deposito</t>
  </si>
  <si>
    <t>Retiro</t>
  </si>
  <si>
    <t>Horario</t>
  </si>
  <si>
    <t>Usuario</t>
  </si>
  <si>
    <t>Estado</t>
  </si>
  <si>
    <t>Calculadora y contadora de billetes La central</t>
  </si>
  <si>
    <t>anexar dinero transferencia</t>
  </si>
  <si>
    <t>Inicio terminal "yastas"</t>
  </si>
  <si>
    <t>inicio en caja "efectivo"</t>
  </si>
  <si>
    <t>BBVA</t>
  </si>
  <si>
    <t>TOTAL DEL DINERO</t>
  </si>
  <si>
    <t>Recarga telefonica</t>
  </si>
  <si>
    <t>Total</t>
  </si>
  <si>
    <t>Cambio</t>
  </si>
  <si>
    <t>total depositos</t>
  </si>
  <si>
    <t>corte de terminal</t>
  </si>
  <si>
    <t>total retiro</t>
  </si>
  <si>
    <t>corte de caja</t>
  </si>
  <si>
    <t>Terminal MELI</t>
  </si>
  <si>
    <t>TERMINAL T-CONECTA</t>
  </si>
  <si>
    <t>Terminal Banorte</t>
  </si>
  <si>
    <t>pago con tarjeta</t>
  </si>
  <si>
    <t>Monto</t>
  </si>
  <si>
    <t>Terminal</t>
  </si>
  <si>
    <t>IVA</t>
  </si>
  <si>
    <t>TERMINAL + IVA</t>
  </si>
  <si>
    <t>billetes</t>
  </si>
  <si>
    <t>FECHA</t>
  </si>
  <si>
    <t xml:space="preserve">RETIRO DE DINERO </t>
  </si>
  <si>
    <t>Banorte</t>
  </si>
  <si>
    <t>Depositos</t>
  </si>
  <si>
    <t>Anexar dinero en caja</t>
  </si>
  <si>
    <t>Transferencia</t>
  </si>
  <si>
    <t>Anexar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</si>
</sst>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$&quot;#,##0.00;\-&quot;$&quot;#,##0.00"/>
    <numFmt numFmtId="44" formatCode="_-&quot;$&quot;* #,##0.00_-;\-&quot;$&quot;* #,##0.00_-;_-&quot;$&quot;* &quot;-&quot;??_-;_-@_-"/>
    <numFmt numFmtId="164" formatCode="_-&quot;$&quot;* #,##0_-;\-&quot;$&quot;* #,##0_-;_-&quot;$&quot;* &quot;-&quot;??_-;_-@_-"/>
    <numFmt numFmtId="165" formatCode="dd/mm/yyyy\ hh:mm:ss"/>
  </numFmts>
  <fonts count="18" x14ac:knownFonts="1">
    <font>
      <sz val="11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name val="Calibri"/>
      <family val="2"/>
      <scheme val="minor"/>
    </font>
    <font>
      <sz val="26"/>
      <color theme="1"/>
      <name val="Calibri"/>
      <family val="2"/>
      <scheme val="minor"/>
    </font>
    <font>
      <b/>
      <sz val="24"/>
      <color rgb="FF000000"/>
      <name val="Calibri"/>
      <family val="2"/>
      <scheme val="minor"/>
    </font>
    <font>
      <b/>
      <sz val="14"/>
      <color rgb="FF96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198E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B4B4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83">
    <xf numFmtId="0" fontId="0" fillId="0" borderId="0" xfId="0"/>
    <xf numFmtId="0" fontId="3" fillId="0" borderId="1" xfId="0" applyFont="1" applyBorder="1"/>
    <xf numFmtId="44" fontId="0" fillId="0" borderId="0" xfId="0" applyNumberFormat="1"/>
    <xf numFmtId="44" fontId="6" fillId="0" borderId="1" xfId="0" applyNumberFormat="1" applyFont="1" applyBorder="1"/>
    <xf numFmtId="0" fontId="6" fillId="2" borderId="1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/>
    </xf>
    <xf numFmtId="164" fontId="7" fillId="0" borderId="1" xfId="1" applyNumberFormat="1" applyFont="1" applyBorder="1" applyProtection="1"/>
    <xf numFmtId="0" fontId="1" fillId="0" borderId="0" xfId="1" applyNumberFormat="1" applyFont="1" applyBorder="1" applyAlignment="1" applyProtection="1"/>
    <xf numFmtId="164" fontId="4" fillId="0" borderId="1" xfId="1" applyNumberFormat="1" applyFont="1" applyBorder="1" applyAlignment="1" applyProtection="1"/>
    <xf numFmtId="0" fontId="4" fillId="0" borderId="1" xfId="0" applyFont="1" applyBorder="1" applyProtection="1">
      <protection locked="0"/>
    </xf>
    <xf numFmtId="0" fontId="3" fillId="0" borderId="1" xfId="0" applyFont="1" applyBorder="1" applyProtection="1">
      <protection locked="0"/>
    </xf>
    <xf numFmtId="164" fontId="14" fillId="0" borderId="1" xfId="1" applyNumberFormat="1" applyFont="1" applyBorder="1" applyAlignment="1" applyProtection="1">
      <alignment horizontal="left" indent="1"/>
    </xf>
    <xf numFmtId="164" fontId="1" fillId="0" borderId="1" xfId="1" applyNumberFormat="1" applyFont="1" applyBorder="1" applyProtection="1">
      <protection locked="0"/>
    </xf>
    <xf numFmtId="164" fontId="1" fillId="0" borderId="1" xfId="1" applyNumberFormat="1" applyFont="1" applyBorder="1" applyAlignment="1" applyProtection="1">
      <protection locked="0"/>
    </xf>
    <xf numFmtId="164" fontId="1" fillId="0" borderId="3" xfId="1" applyNumberFormat="1" applyFont="1" applyBorder="1" applyAlignment="1" applyProtection="1">
      <protection locked="0"/>
    </xf>
    <xf numFmtId="0" fontId="4" fillId="0" borderId="0" xfId="1" applyNumberFormat="1" applyFont="1" applyBorder="1" applyAlignment="1" applyProtection="1"/>
    <xf numFmtId="0" fontId="4" fillId="0" borderId="2" xfId="0" applyFont="1" applyBorder="1" applyProtection="1">
      <protection locked="0"/>
    </xf>
    <xf numFmtId="0" fontId="15" fillId="0" borderId="6" xfId="1" applyNumberFormat="1" applyFont="1" applyBorder="1" applyAlignment="1" applyProtection="1"/>
    <xf numFmtId="165" fontId="0" fillId="0" borderId="0" xfId="0" applyNumberFormat="1"/>
    <xf numFmtId="0" fontId="3" fillId="0" borderId="2" xfId="0" applyFont="1" applyBorder="1" applyProtection="1">
      <protection locked="0"/>
    </xf>
    <xf numFmtId="164" fontId="5" fillId="0" borderId="11" xfId="1" applyNumberFormat="1" applyFont="1" applyBorder="1" applyAlignment="1" applyProtection="1"/>
    <xf numFmtId="164" fontId="1" fillId="0" borderId="1" xfId="1" applyNumberFormat="1" applyFont="1" applyBorder="1" applyProtection="1"/>
    <xf numFmtId="164" fontId="6" fillId="0" borderId="1" xfId="1" applyNumberFormat="1" applyFont="1" applyBorder="1" applyAlignment="1" applyProtection="1">
      <protection locked="0"/>
    </xf>
    <xf numFmtId="0" fontId="16" fillId="4" borderId="1" xfId="0" applyFont="1" applyFill="1" applyBorder="1" applyProtection="1">
      <protection locked="0"/>
    </xf>
    <xf numFmtId="0" fontId="17" fillId="8" borderId="1" xfId="0" applyFont="1" applyFill="1" applyBorder="1" applyProtection="1">
      <protection locked="0"/>
    </xf>
    <xf numFmtId="0" fontId="16" fillId="3" borderId="1" xfId="0" applyFont="1" applyFill="1" applyBorder="1" applyProtection="1">
      <protection locked="0"/>
    </xf>
    <xf numFmtId="0" fontId="10" fillId="0" borderId="5" xfId="0" applyFont="1" applyBorder="1"/>
    <xf numFmtId="0" fontId="10" fillId="0" borderId="1" xfId="0" applyFont="1" applyBorder="1"/>
    <xf numFmtId="18" fontId="10" fillId="0" borderId="0" xfId="0" applyNumberFormat="1" applyFont="1"/>
    <xf numFmtId="7" fontId="10" fillId="0" borderId="0" xfId="0" applyNumberFormat="1" applyFont="1"/>
    <xf numFmtId="0" fontId="13" fillId="0" borderId="0" xfId="0" applyFont="1"/>
    <xf numFmtId="7" fontId="0" fillId="0" borderId="0" xfId="0" applyNumberFormat="1"/>
    <xf numFmtId="18" fontId="0" fillId="0" borderId="0" xfId="0" applyNumberFormat="1"/>
    <xf numFmtId="0" fontId="1" fillId="0" borderId="1" xfId="0" applyFont="1" applyBorder="1"/>
    <xf numFmtId="164" fontId="6" fillId="0" borderId="1" xfId="1" applyNumberFormat="1" applyFont="1" applyBorder="1" applyProtection="1"/>
    <xf numFmtId="7" fontId="10" fillId="5" borderId="0" xfId="0" applyNumberFormat="1" applyFont="1" applyFill="1"/>
    <xf numFmtId="18" fontId="10" fillId="5" borderId="0" xfId="0" applyNumberFormat="1" applyFont="1" applyFill="1"/>
    <xf numFmtId="0" fontId="13" fillId="5" borderId="0" xfId="0" applyFont="1" applyFill="1"/>
    <xf numFmtId="0" fontId="1" fillId="0" borderId="0" xfId="0" applyFont="1"/>
    <xf numFmtId="0" fontId="3" fillId="0" borderId="1" xfId="0" applyFont="1" applyBorder="1" applyAlignment="1">
      <alignment horizontal="right"/>
    </xf>
    <xf numFmtId="0" fontId="3" fillId="0" borderId="0" xfId="0" applyFont="1"/>
    <xf numFmtId="0" fontId="4" fillId="0" borderId="1" xfId="0" applyFont="1" applyBorder="1"/>
    <xf numFmtId="0" fontId="4" fillId="0" borderId="2" xfId="0" applyFont="1" applyBorder="1"/>
    <xf numFmtId="0" fontId="0" fillId="0" borderId="5" xfId="0" applyBorder="1"/>
    <xf numFmtId="0" fontId="4" fillId="0" borderId="0" xfId="0" applyFont="1"/>
    <xf numFmtId="0" fontId="3" fillId="0" borderId="2" xfId="0" applyFont="1" applyBorder="1"/>
    <xf numFmtId="0" fontId="8" fillId="0" borderId="3" xfId="0" applyFont="1" applyBorder="1" applyAlignment="1">
      <alignment horizontal="right"/>
    </xf>
    <xf numFmtId="0" fontId="0" fillId="0" borderId="9" xfId="0" applyBorder="1"/>
    <xf numFmtId="0" fontId="0" fillId="0" borderId="7" xfId="0" applyBorder="1"/>
    <xf numFmtId="0" fontId="15" fillId="0" borderId="8" xfId="0" applyFont="1" applyBorder="1"/>
    <xf numFmtId="164" fontId="4" fillId="0" borderId="1" xfId="0" applyNumberFormat="1" applyFont="1" applyBorder="1"/>
    <xf numFmtId="164" fontId="0" fillId="0" borderId="0" xfId="0" applyNumberFormat="1"/>
    <xf numFmtId="0" fontId="10" fillId="0" borderId="0" xfId="0" applyFont="1"/>
    <xf numFmtId="0" fontId="1" fillId="0" borderId="1" xfId="0" applyFont="1" applyBorder="1" applyAlignment="1">
      <alignment horizontal="center"/>
    </xf>
    <xf numFmtId="0" fontId="9" fillId="0" borderId="2" xfId="0" applyFont="1" applyBorder="1"/>
    <xf numFmtId="0" fontId="9" fillId="0" borderId="3" xfId="0" applyFont="1" applyBorder="1"/>
    <xf numFmtId="0" fontId="6" fillId="0" borderId="2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3" fillId="4" borderId="2" xfId="1" applyNumberFormat="1" applyFont="1" applyFill="1" applyBorder="1" applyAlignment="1" applyProtection="1">
      <alignment horizontal="center"/>
    </xf>
    <xf numFmtId="0" fontId="3" fillId="4" borderId="3" xfId="1" applyNumberFormat="1" applyFont="1" applyFill="1" applyBorder="1" applyAlignment="1" applyProtection="1">
      <alignment horizontal="center"/>
    </xf>
    <xf numFmtId="0" fontId="12" fillId="3" borderId="2" xfId="0" applyFont="1" applyFill="1" applyBorder="1" applyAlignment="1">
      <alignment horizontal="center"/>
    </xf>
    <xf numFmtId="0" fontId="12" fillId="3" borderId="3" xfId="0" applyFont="1" applyFill="1" applyBorder="1" applyAlignment="1">
      <alignment horizontal="center"/>
    </xf>
    <xf numFmtId="0" fontId="11" fillId="3" borderId="2" xfId="0" applyFont="1" applyFill="1" applyBorder="1" applyAlignment="1">
      <alignment horizontal="center"/>
    </xf>
    <xf numFmtId="0" fontId="11" fillId="3" borderId="3" xfId="0" applyFont="1" applyFill="1" applyBorder="1" applyAlignment="1">
      <alignment horizontal="center"/>
    </xf>
    <xf numFmtId="0" fontId="12" fillId="6" borderId="2" xfId="0" applyFont="1" applyFill="1" applyBorder="1" applyAlignment="1">
      <alignment horizontal="left"/>
    </xf>
    <xf numFmtId="0" fontId="12" fillId="6" borderId="3" xfId="0" applyFont="1" applyFill="1" applyBorder="1" applyAlignment="1">
      <alignment horizontal="left"/>
    </xf>
    <xf numFmtId="0" fontId="8" fillId="7" borderId="2" xfId="0" applyFont="1" applyFill="1" applyBorder="1" applyAlignment="1">
      <alignment horizontal="center"/>
    </xf>
    <xf numFmtId="0" fontId="8" fillId="7" borderId="3" xfId="0" applyFont="1" applyFill="1" applyBorder="1" applyAlignment="1">
      <alignment horizontal="center"/>
    </xf>
    <xf numFmtId="0" fontId="6" fillId="0" borderId="1" xfId="0" applyFont="1" applyBorder="1"/>
    <xf numFmtId="44" fontId="4" fillId="0" borderId="1" xfId="1" applyFont="1" applyBorder="1" applyAlignment="1" applyProtection="1">
      <alignment horizontal="center"/>
    </xf>
    <xf numFmtId="0" fontId="3" fillId="0" borderId="1" xfId="0" applyFont="1" applyBorder="1" applyAlignment="1">
      <alignment horizontal="center"/>
    </xf>
    <xf numFmtId="164" fontId="1" fillId="0" borderId="2" xfId="1" applyNumberFormat="1" applyFont="1" applyBorder="1" applyAlignment="1" applyProtection="1">
      <alignment horizontal="center"/>
    </xf>
    <xf numFmtId="164" fontId="1" fillId="0" borderId="4" xfId="1" applyNumberFormat="1" applyFont="1" applyBorder="1" applyAlignment="1" applyProtection="1">
      <alignment horizontal="center"/>
    </xf>
    <xf numFmtId="0" fontId="6" fillId="0" borderId="1" xfId="0" applyFont="1" applyBorder="1" applyAlignment="1">
      <alignment horizontal="left" vertical="center"/>
    </xf>
    <xf numFmtId="164" fontId="5" fillId="0" borderId="10" xfId="1" applyNumberFormat="1" applyFont="1" applyBorder="1" applyAlignment="1" applyProtection="1">
      <alignment horizontal="center"/>
    </xf>
    <xf numFmtId="164" fontId="5" fillId="0" borderId="8" xfId="1" applyNumberFormat="1" applyFont="1" applyBorder="1" applyAlignment="1" applyProtection="1">
      <alignment horizontal="center"/>
    </xf>
    <xf numFmtId="0" fontId="7" fillId="0" borderId="1" xfId="0" applyFont="1" applyBorder="1" applyAlignment="1">
      <alignment horizontal="left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64" fontId="1" fillId="0" borderId="1" xfId="1" applyNumberFormat="1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164" fontId="7" fillId="0" borderId="1" xfId="0" applyNumberFormat="1" applyFont="1" applyBorder="1" applyAlignment="1">
      <alignment horizontal="center"/>
    </xf>
    <xf numFmtId="0" fontId="8" fillId="0" borderId="0" xfId="0" applyFont="1" applyAlignment="1">
      <alignment horizontal="center"/>
    </xf>
  </cellXfs>
  <cellStyles count="2">
    <cellStyle name="Moneda" xfId="1" builtinId="4"/>
    <cellStyle name="Normal" xfId="0" builtinId="0"/>
  </cellStyles>
  <dxfs count="25"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ill>
        <patternFill>
          <bgColor rgb="FF0070C0"/>
        </patternFill>
      </fill>
    </dxf>
    <dxf>
      <font>
        <color theme="1"/>
      </font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C198E0"/>
        </patternFill>
      </fill>
    </dxf>
    <dxf>
      <font>
        <color theme="1"/>
      </font>
      <fill>
        <patternFill>
          <bgColor rgb="FF0070C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rgb="FF00B050"/>
          <bgColor rgb="FF00B050"/>
        </patternFill>
      </fill>
      <border>
        <vertical/>
        <horizontal/>
      </border>
    </dxf>
  </dxfs>
  <tableStyles count="0" defaultTableStyle="TableStyleMedium2" defaultPivotStyle="PivotStyleLight16"/>
  <colors>
    <mruColors>
      <color rgb="FFC198E0"/>
      <color rgb="FF003399"/>
      <color rgb="FFFF9966"/>
      <color rgb="FF0099CC"/>
      <color rgb="FF3366CC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1116816</xdr:colOff>
      <xdr:row>17</xdr:row>
      <xdr:rowOff>129868</xdr:rowOff>
    </xdr:from>
    <xdr:to>
      <xdr:col>9</xdr:col>
      <xdr:colOff>1112156</xdr:colOff>
      <xdr:row>20</xdr:row>
      <xdr:rowOff>446088</xdr:rowOff>
    </xdr:to>
    <xdr:sp macro="[0]!Macro1" textlink="">
      <xdr:nvSpPr>
        <xdr:cNvPr id="3" name="Rectángulo 2">
          <a:extLst>
            <a:ext uri="{FF2B5EF4-FFF2-40B4-BE49-F238E27FC236}">
              <a16:creationId xmlns:a16="http://schemas.microsoft.com/office/drawing/2014/main" id="{7B80BEC7-C9DF-E5DA-296A-2EE815D14446}"/>
            </a:ext>
          </a:extLst>
        </xdr:cNvPr>
        <xdr:cNvSpPr/>
      </xdr:nvSpPr>
      <xdr:spPr>
        <a:xfrm>
          <a:off x="10114539" y="5776832"/>
          <a:ext cx="2580697" cy="1030595"/>
        </a:xfrm>
        <a:prstGeom prst="rect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400"/>
            <a:t>guardar valor</a:t>
          </a:r>
          <a:r>
            <a:rPr lang="es-MX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es-MX" sz="2400"/>
            <a:t> </a:t>
          </a:r>
          <a:r>
            <a:rPr lang="es-MX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es-MX" sz="2400"/>
            <a:t> </a:t>
          </a:r>
        </a:p>
      </xdr:txBody>
    </xdr:sp>
    <xdr:clientData/>
  </xdr:twoCellAnchor>
  <xdr:twoCellAnchor>
    <xdr:from>
      <xdr:col>7</xdr:col>
      <xdr:colOff>1005672</xdr:colOff>
      <xdr:row>27</xdr:row>
      <xdr:rowOff>71581</xdr:rowOff>
    </xdr:from>
    <xdr:to>
      <xdr:col>10</xdr:col>
      <xdr:colOff>285750</xdr:colOff>
      <xdr:row>32</xdr:row>
      <xdr:rowOff>138709</xdr:rowOff>
    </xdr:to>
    <xdr:sp macro="[0]!LimpiarDatos" textlink="">
      <xdr:nvSpPr>
        <xdr:cNvPr id="4" name="Elipse 3">
          <a:extLst>
            <a:ext uri="{FF2B5EF4-FFF2-40B4-BE49-F238E27FC236}">
              <a16:creationId xmlns:a16="http://schemas.microsoft.com/office/drawing/2014/main" id="{460DD317-7E9B-2A10-09FE-B2B314C3A24D}"/>
            </a:ext>
          </a:extLst>
        </xdr:cNvPr>
        <xdr:cNvSpPr/>
      </xdr:nvSpPr>
      <xdr:spPr>
        <a:xfrm>
          <a:off x="9986386" y="9079510"/>
          <a:ext cx="3076471" cy="951592"/>
        </a:xfrm>
        <a:prstGeom prst="ellipse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800"/>
            <a:t>reiniciar el dia</a:t>
          </a:r>
        </a:p>
        <a:p>
          <a:pPr algn="ctr"/>
          <a:endParaRPr lang="es-MX" sz="1800"/>
        </a:p>
      </xdr:txBody>
    </xdr:sp>
    <xdr:clientData/>
  </xdr:twoCellAnchor>
  <xdr:twoCellAnchor>
    <xdr:from>
      <xdr:col>5</xdr:col>
      <xdr:colOff>928459</xdr:colOff>
      <xdr:row>17</xdr:row>
      <xdr:rowOff>7257</xdr:rowOff>
    </xdr:from>
    <xdr:to>
      <xdr:col>7</xdr:col>
      <xdr:colOff>411841</xdr:colOff>
      <xdr:row>21</xdr:row>
      <xdr:rowOff>125640</xdr:rowOff>
    </xdr:to>
    <xdr:sp macro="[0]!BloquearDesbloquearCeldas" textlink="">
      <xdr:nvSpPr>
        <xdr:cNvPr id="6" name="Estrella: 6 puntas 5">
          <a:extLst>
            <a:ext uri="{FF2B5EF4-FFF2-40B4-BE49-F238E27FC236}">
              <a16:creationId xmlns:a16="http://schemas.microsoft.com/office/drawing/2014/main" id="{952504D3-F206-709F-C486-276E0D4448D6}"/>
            </a:ext>
          </a:extLst>
        </xdr:cNvPr>
        <xdr:cNvSpPr/>
      </xdr:nvSpPr>
      <xdr:spPr>
        <a:xfrm>
          <a:off x="7476897" y="5654221"/>
          <a:ext cx="1932667" cy="1360035"/>
        </a:xfrm>
        <a:prstGeom prst="star6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400" b="1"/>
            <a:t>bloquear valores</a:t>
          </a:r>
        </a:p>
      </xdr:txBody>
    </xdr:sp>
    <xdr:clientData/>
  </xdr:twoCellAnchor>
  <xdr:twoCellAnchor editAs="oneCell">
    <xdr:from>
      <xdr:col>5</xdr:col>
      <xdr:colOff>741630</xdr:colOff>
      <xdr:row>0</xdr:row>
      <xdr:rowOff>95142</xdr:rowOff>
    </xdr:from>
    <xdr:to>
      <xdr:col>7</xdr:col>
      <xdr:colOff>1633</xdr:colOff>
      <xdr:row>3</xdr:row>
      <xdr:rowOff>107443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15E6C828-FBB9-1210-0ACC-A4C3A7006F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9804" y="95142"/>
          <a:ext cx="1660026" cy="1039296"/>
        </a:xfrm>
        <a:prstGeom prst="rect">
          <a:avLst/>
        </a:prstGeom>
      </xdr:spPr>
    </xdr:pic>
    <xdr:clientData/>
  </xdr:twoCellAnchor>
  <xdr:twoCellAnchor>
    <xdr:from>
      <xdr:col>6</xdr:col>
      <xdr:colOff>157182</xdr:colOff>
      <xdr:row>26</xdr:row>
      <xdr:rowOff>137308</xdr:rowOff>
    </xdr:from>
    <xdr:to>
      <xdr:col>7</xdr:col>
      <xdr:colOff>582631</xdr:colOff>
      <xdr:row>33</xdr:row>
      <xdr:rowOff>15935</xdr:rowOff>
    </xdr:to>
    <xdr:sp macro="[0]!AbrirCalculadora" textlink="">
      <xdr:nvSpPr>
        <xdr:cNvPr id="7" name="Pentágono 6">
          <a:extLst>
            <a:ext uri="{FF2B5EF4-FFF2-40B4-BE49-F238E27FC236}">
              <a16:creationId xmlns:a16="http://schemas.microsoft.com/office/drawing/2014/main" id="{88D5C984-0D6A-F73D-2629-304DC23E4B14}"/>
            </a:ext>
          </a:extLst>
        </xdr:cNvPr>
        <xdr:cNvSpPr/>
      </xdr:nvSpPr>
      <xdr:spPr>
        <a:xfrm>
          <a:off x="7725227" y="8952263"/>
          <a:ext cx="1880177" cy="1090899"/>
        </a:xfrm>
        <a:prstGeom prst="pentag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200" b="1"/>
            <a:t>CALCULADORA</a:t>
          </a:r>
        </a:p>
      </xdr:txBody>
    </xdr:sp>
    <xdr:clientData/>
  </xdr:twoCellAnchor>
  <xdr:twoCellAnchor>
    <xdr:from>
      <xdr:col>10</xdr:col>
      <xdr:colOff>463714</xdr:colOff>
      <xdr:row>18</xdr:row>
      <xdr:rowOff>10060</xdr:rowOff>
    </xdr:from>
    <xdr:to>
      <xdr:col>11</xdr:col>
      <xdr:colOff>884465</xdr:colOff>
      <xdr:row>20</xdr:row>
      <xdr:rowOff>486682</xdr:rowOff>
    </xdr:to>
    <xdr:sp macro="[0]!AbrirModuloCambios" textlink="">
      <xdr:nvSpPr>
        <xdr:cNvPr id="8" name="Diagrama de flujo: terminador 7">
          <a:extLst>
            <a:ext uri="{FF2B5EF4-FFF2-40B4-BE49-F238E27FC236}">
              <a16:creationId xmlns:a16="http://schemas.microsoft.com/office/drawing/2014/main" id="{A52E077E-647D-4561-860A-08E6EB1191C1}"/>
            </a:ext>
          </a:extLst>
        </xdr:cNvPr>
        <xdr:cNvSpPr/>
      </xdr:nvSpPr>
      <xdr:spPr>
        <a:xfrm>
          <a:off x="13240821" y="6133274"/>
          <a:ext cx="1767858" cy="966479"/>
        </a:xfrm>
        <a:prstGeom prst="flowChartTerminator">
          <a:avLst/>
        </a:prstGeom>
        <a:solidFill>
          <a:schemeClr val="accent3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/>
            <a:t>Servicio</a:t>
          </a:r>
          <a:r>
            <a:rPr lang="es-MX" sz="1600" baseline="0"/>
            <a:t> adicionales</a:t>
          </a:r>
          <a:endParaRPr lang="es-MX" sz="1600"/>
        </a:p>
        <a:p>
          <a:pPr algn="ctr"/>
          <a:endParaRPr lang="es-MX" sz="1600"/>
        </a:p>
      </xdr:txBody>
    </xdr:sp>
    <xdr:clientData/>
  </xdr:twoCellAnchor>
  <xdr:twoCellAnchor>
    <xdr:from>
      <xdr:col>12</xdr:col>
      <xdr:colOff>149679</xdr:colOff>
      <xdr:row>18</xdr:row>
      <xdr:rowOff>92075</xdr:rowOff>
    </xdr:from>
    <xdr:to>
      <xdr:col>12</xdr:col>
      <xdr:colOff>1492250</xdr:colOff>
      <xdr:row>20</xdr:row>
      <xdr:rowOff>412750</xdr:rowOff>
    </xdr:to>
    <xdr:sp macro="[0]!AbrirReporteArqueo" textlink="">
      <xdr:nvSpPr>
        <xdr:cNvPr id="9" name="Diagrama de flujo: documento 8">
          <a:extLst>
            <a:ext uri="{FF2B5EF4-FFF2-40B4-BE49-F238E27FC236}">
              <a16:creationId xmlns:a16="http://schemas.microsoft.com/office/drawing/2014/main" id="{D3B13A47-5298-D656-9FD7-66A623B6BBE3}"/>
            </a:ext>
          </a:extLst>
        </xdr:cNvPr>
        <xdr:cNvSpPr/>
      </xdr:nvSpPr>
      <xdr:spPr>
        <a:xfrm>
          <a:off x="15469054" y="6188075"/>
          <a:ext cx="1342571" cy="796925"/>
        </a:xfrm>
        <a:prstGeom prst="flowChartDocumen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400"/>
            <a:t>RESULTADO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476250</xdr:colOff>
      <xdr:row>4</xdr:row>
      <xdr:rowOff>177800</xdr:rowOff>
    </xdr:from>
    <xdr:to>
      <xdr:col>6</xdr:col>
      <xdr:colOff>282575</xdr:colOff>
      <xdr:row>7</xdr:row>
      <xdr:rowOff>19050</xdr:rowOff>
    </xdr:to>
    <xdr:sp macro="[0]!borrado_tarjeta" textlink="">
      <xdr:nvSpPr>
        <xdr:cNvPr id="2" name="Rectángulo 1">
          <a:extLst>
            <a:ext uri="{FF2B5EF4-FFF2-40B4-BE49-F238E27FC236}">
              <a16:creationId xmlns:a16="http://schemas.microsoft.com/office/drawing/2014/main" id="{F1C04ED6-4A73-41EB-A518-0C4637CBB4B6}"/>
            </a:ext>
          </a:extLst>
        </xdr:cNvPr>
        <xdr:cNvSpPr/>
      </xdr:nvSpPr>
      <xdr:spPr>
        <a:xfrm>
          <a:off x="5648325" y="1054100"/>
          <a:ext cx="1149350" cy="5937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2800"/>
            <a:t>borrar</a:t>
          </a:r>
        </a:p>
        <a:p>
          <a:pPr algn="l"/>
          <a:endParaRPr lang="es-MX" sz="2000"/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C4BD6-E78E-4234-A96A-7C32C3AB7C0E}">
  <sheetPr codeName="Hoja1"/>
  <dimension ref="A1:U96"/>
  <sheetViews>
    <sheetView showGridLines="0" tabSelected="1" zoomScale="50" zoomScaleNormal="50" workbookViewId="0">
      <selection activeCell="S19" sqref="S19"/>
    </sheetView>
  </sheetViews>
  <sheetFormatPr baseColWidth="10" defaultColWidth="10.54296875" defaultRowHeight="18.5" x14ac:dyDescent="0.45"/>
  <cols>
    <col min="1" max="1" width="19.54296875" style="52" customWidth="1"/>
    <col min="2" max="3" width="20.26953125" style="52" customWidth="1"/>
    <col min="4" max="4" width="14" customWidth="1"/>
    <col min="5" max="5" width="19.7265625" style="30" customWidth="1"/>
    <col min="6" max="6" width="14" customWidth="1"/>
    <col min="7" max="7" width="20.7265625" customWidth="1"/>
    <col min="8" max="8" width="16.453125" customWidth="1"/>
    <col min="9" max="9" width="20.453125" customWidth="1"/>
    <col min="10" max="10" width="17.26953125" customWidth="1"/>
    <col min="11" max="11" width="19.26953125" customWidth="1"/>
    <col min="12" max="12" width="17.26953125" customWidth="1"/>
    <col min="13" max="13" width="23.54296875" customWidth="1"/>
    <col min="14" max="14" width="27.7265625" customWidth="1"/>
    <col min="17" max="17" width="17.453125" customWidth="1"/>
    <col min="18" max="18" width="11.7265625" customWidth="1"/>
    <col min="19" max="19" width="17" customWidth="1"/>
    <col min="20" max="20" width="11.26953125" customWidth="1"/>
    <col min="21" max="21" width="14.26953125" customWidth="1"/>
  </cols>
  <sheetData>
    <row r="1" spans="1:21" x14ac:dyDescent="0.45">
      <c r="A1" s="26" t="s">
        <v>0</v>
      </c>
      <c r="B1" s="26" t="s">
        <v>1</v>
      </c>
      <c r="C1" s="26" t="s">
        <v>2</v>
      </c>
      <c r="D1" s="26" t="s">
        <v>3</v>
      </c>
      <c r="E1" s="26" t="s">
        <v>4</v>
      </c>
      <c r="Q1" s="27" t="s">
        <v>0</v>
      </c>
      <c r="R1" s="27" t="s">
        <v>1</v>
      </c>
      <c r="S1" s="27" t="s">
        <v>2</v>
      </c>
      <c r="T1" s="27" t="s">
        <v>3</v>
      </c>
      <c r="U1" s="27" t="s">
        <v>4</v>
      </c>
    </row>
    <row r="2" spans="1:21" ht="31" x14ac:dyDescent="0.7">
      <c r="A2" s="28"/>
      <c r="B2" s="29"/>
      <c r="C2" s="28"/>
      <c r="H2" s="53" t="s">
        <v>5</v>
      </c>
      <c r="I2" s="53"/>
      <c r="J2" s="53"/>
      <c r="K2" s="53"/>
      <c r="L2" s="53"/>
      <c r="Q2" s="31"/>
      <c r="R2" s="31"/>
      <c r="S2" s="32"/>
    </row>
    <row r="3" spans="1:21" ht="32.5" customHeight="1" x14ac:dyDescent="0.7">
      <c r="A3" s="29"/>
      <c r="B3" s="29"/>
      <c r="C3" s="28"/>
      <c r="K3" s="66" t="s">
        <v>28</v>
      </c>
      <c r="L3" s="67"/>
      <c r="M3" s="33"/>
      <c r="Q3" s="31"/>
      <c r="R3" s="31"/>
      <c r="S3" s="32"/>
    </row>
    <row r="4" spans="1:21" ht="31.5" customHeight="1" x14ac:dyDescent="0.7">
      <c r="A4" s="29"/>
      <c r="B4" s="29"/>
      <c r="C4" s="28"/>
      <c r="K4" s="62" t="s">
        <v>6</v>
      </c>
      <c r="L4" s="63"/>
      <c r="M4" s="34"/>
      <c r="N4" s="25" t="s">
        <v>32</v>
      </c>
      <c r="Q4" s="35"/>
      <c r="R4" s="35"/>
      <c r="S4" s="36"/>
      <c r="U4" s="37"/>
    </row>
    <row r="5" spans="1:21" ht="31" x14ac:dyDescent="0.7">
      <c r="A5" s="28"/>
      <c r="B5" s="35"/>
      <c r="C5" s="36"/>
      <c r="G5" s="68" t="s">
        <v>7</v>
      </c>
      <c r="H5" s="68"/>
      <c r="I5" s="22"/>
      <c r="J5" s="38"/>
      <c r="K5" s="60" t="s">
        <v>31</v>
      </c>
      <c r="L5" s="61"/>
      <c r="M5" s="21"/>
      <c r="N5" s="25" t="s">
        <v>33</v>
      </c>
      <c r="Q5" s="29"/>
      <c r="R5" s="29"/>
      <c r="S5" s="28"/>
      <c r="U5" s="30"/>
    </row>
    <row r="6" spans="1:21" ht="31" x14ac:dyDescent="0.7">
      <c r="A6" s="36"/>
      <c r="B6" s="35"/>
      <c r="C6" s="36"/>
      <c r="E6" s="37"/>
      <c r="G6" s="68" t="s">
        <v>8</v>
      </c>
      <c r="H6" s="68"/>
      <c r="I6" s="22"/>
      <c r="K6" s="58" t="s">
        <v>9</v>
      </c>
      <c r="L6" s="59"/>
      <c r="M6" s="21"/>
      <c r="N6" s="23" t="s">
        <v>9</v>
      </c>
      <c r="Q6" s="31"/>
      <c r="R6" s="31"/>
      <c r="S6" s="32"/>
    </row>
    <row r="7" spans="1:21" ht="23.65" customHeight="1" x14ac:dyDescent="0.7">
      <c r="A7" s="36"/>
      <c r="B7" s="35"/>
      <c r="C7" s="36"/>
      <c r="E7" s="37"/>
      <c r="G7" s="56" t="s">
        <v>10</v>
      </c>
      <c r="H7" s="57"/>
      <c r="I7" s="8">
        <f>SUM(I24+M24+M23+M22)</f>
        <v>0</v>
      </c>
      <c r="K7" s="64" t="s">
        <v>11</v>
      </c>
      <c r="L7" s="65"/>
      <c r="M7" s="12"/>
      <c r="N7" s="7"/>
      <c r="Q7" s="31"/>
      <c r="R7" s="31"/>
      <c r="S7" s="32"/>
    </row>
    <row r="8" spans="1:21" ht="27.5" customHeight="1" x14ac:dyDescent="0.7">
      <c r="A8" s="35"/>
      <c r="B8" s="35"/>
      <c r="C8" s="36"/>
      <c r="E8" s="37"/>
      <c r="K8" s="54" t="s">
        <v>30</v>
      </c>
      <c r="L8" s="55"/>
      <c r="M8" s="13"/>
      <c r="N8" s="24" t="s">
        <v>29</v>
      </c>
      <c r="Q8" s="31"/>
      <c r="R8" s="31"/>
      <c r="S8" s="32"/>
    </row>
    <row r="9" spans="1:21" ht="24.65" customHeight="1" x14ac:dyDescent="0.7">
      <c r="A9" s="35"/>
      <c r="B9" s="35"/>
      <c r="C9" s="36"/>
      <c r="E9" s="37"/>
      <c r="K9" s="54" t="s">
        <v>1</v>
      </c>
      <c r="L9" s="55"/>
      <c r="M9" s="14"/>
      <c r="Q9" s="31"/>
      <c r="R9" s="31"/>
      <c r="S9" s="32"/>
    </row>
    <row r="10" spans="1:21" x14ac:dyDescent="0.45">
      <c r="A10" s="35"/>
      <c r="B10" s="35"/>
      <c r="C10" s="36"/>
      <c r="E10" s="37"/>
      <c r="R10" s="31"/>
      <c r="S10" s="32"/>
    </row>
    <row r="11" spans="1:21" ht="28.5" x14ac:dyDescent="0.65">
      <c r="A11" s="35"/>
      <c r="B11" s="35"/>
      <c r="C11" s="36"/>
      <c r="E11" s="37"/>
      <c r="G11" s="1">
        <v>20</v>
      </c>
      <c r="H11" s="1">
        <v>50</v>
      </c>
      <c r="I11" s="1">
        <v>100</v>
      </c>
      <c r="J11" s="1">
        <v>200</v>
      </c>
      <c r="K11" s="1">
        <v>500</v>
      </c>
      <c r="L11" s="1">
        <v>1000</v>
      </c>
      <c r="M11" s="39" t="s">
        <v>12</v>
      </c>
      <c r="N11" s="40"/>
      <c r="R11" s="31"/>
      <c r="S11" s="32"/>
    </row>
    <row r="12" spans="1:21" ht="28.5" x14ac:dyDescent="0.65">
      <c r="A12" s="29"/>
      <c r="B12" s="29"/>
      <c r="C12" s="28"/>
      <c r="G12" s="9"/>
      <c r="H12" s="9"/>
      <c r="I12" s="9"/>
      <c r="J12" s="9"/>
      <c r="K12" s="9"/>
      <c r="L12" s="16"/>
      <c r="M12" s="43"/>
      <c r="N12" s="15"/>
      <c r="Q12" s="31"/>
      <c r="S12" s="32"/>
    </row>
    <row r="13" spans="1:21" ht="33.5" x14ac:dyDescent="0.75">
      <c r="A13" s="29"/>
      <c r="B13" s="29"/>
      <c r="C13" s="28"/>
      <c r="G13" s="41">
        <f t="shared" ref="G13:L13" si="0">G11*G12</f>
        <v>0</v>
      </c>
      <c r="H13" s="41">
        <f t="shared" si="0"/>
        <v>0</v>
      </c>
      <c r="I13" s="41">
        <f t="shared" si="0"/>
        <v>0</v>
      </c>
      <c r="J13" s="41">
        <f t="shared" si="0"/>
        <v>0</v>
      </c>
      <c r="K13" s="41">
        <f t="shared" si="0"/>
        <v>0</v>
      </c>
      <c r="L13" s="42">
        <f t="shared" si="0"/>
        <v>0</v>
      </c>
      <c r="M13" s="17">
        <f>SUM(G13:L13,G17:J17)</f>
        <v>0</v>
      </c>
      <c r="N13" s="15"/>
      <c r="R13" s="31"/>
      <c r="S13" s="32"/>
    </row>
    <row r="14" spans="1:21" ht="31.5" customHeight="1" x14ac:dyDescent="0.65">
      <c r="A14" s="29"/>
      <c r="B14" s="29"/>
      <c r="C14" s="28"/>
      <c r="G14" s="44"/>
      <c r="H14" s="44"/>
      <c r="I14" s="44"/>
      <c r="J14" s="44"/>
      <c r="K14" s="44"/>
      <c r="L14" s="44"/>
      <c r="M14" s="44"/>
      <c r="N14" s="44"/>
      <c r="S14" s="32"/>
    </row>
    <row r="15" spans="1:21" ht="28.5" x14ac:dyDescent="0.65">
      <c r="A15" s="29"/>
      <c r="B15" s="29"/>
      <c r="C15" s="28"/>
      <c r="G15" s="1">
        <v>1</v>
      </c>
      <c r="H15" s="1">
        <v>2</v>
      </c>
      <c r="I15" s="1">
        <v>5</v>
      </c>
      <c r="J15" s="45">
        <v>10</v>
      </c>
      <c r="K15" s="70" t="s">
        <v>13</v>
      </c>
      <c r="L15" s="70"/>
      <c r="M15" s="46" t="s">
        <v>26</v>
      </c>
      <c r="N15" s="40"/>
      <c r="R15" s="31"/>
      <c r="S15" s="32"/>
    </row>
    <row r="16" spans="1:21" ht="28.5" customHeight="1" x14ac:dyDescent="0.75">
      <c r="A16" s="29"/>
      <c r="B16" s="29"/>
      <c r="C16" s="28"/>
      <c r="G16" s="10"/>
      <c r="H16" s="10"/>
      <c r="I16" s="10"/>
      <c r="J16" s="19"/>
      <c r="K16" s="47"/>
      <c r="L16" s="20"/>
      <c r="M16" s="48"/>
      <c r="N16" s="44"/>
      <c r="R16" s="31"/>
      <c r="S16" s="32"/>
    </row>
    <row r="17" spans="1:19" ht="33.5" x14ac:dyDescent="0.75">
      <c r="A17" s="29"/>
      <c r="B17" s="29"/>
      <c r="C17" s="28"/>
      <c r="G17" s="41">
        <f>G15*G16</f>
        <v>0</v>
      </c>
      <c r="H17" s="41">
        <f>H15*H16</f>
        <v>0</v>
      </c>
      <c r="I17" s="41">
        <f>I15*I16</f>
        <v>0</v>
      </c>
      <c r="J17" s="42">
        <f>J15*J16</f>
        <v>0</v>
      </c>
      <c r="K17" s="74">
        <f>M13-M7-M8-M9-IF(ISNUMBER(N5),N5,0)-IF(ISNUMBER(N6),N6,0)</f>
        <v>0</v>
      </c>
      <c r="L17" s="75"/>
      <c r="M17" s="49">
        <f>SUM(G12:L12)</f>
        <v>0</v>
      </c>
      <c r="N17" s="44"/>
      <c r="Q17" s="31"/>
      <c r="S17" s="32"/>
    </row>
    <row r="18" spans="1:19" x14ac:dyDescent="0.45">
      <c r="A18" s="29"/>
      <c r="B18" s="29"/>
      <c r="C18" s="28"/>
      <c r="Q18" s="31"/>
      <c r="S18" s="32"/>
    </row>
    <row r="19" spans="1:19" x14ac:dyDescent="0.45">
      <c r="A19" s="29"/>
      <c r="B19" s="29"/>
      <c r="C19" s="28"/>
      <c r="Q19" s="31"/>
      <c r="S19" s="32"/>
    </row>
    <row r="20" spans="1:19" x14ac:dyDescent="0.45">
      <c r="A20" s="29"/>
      <c r="B20" s="29"/>
      <c r="C20" s="28"/>
    </row>
    <row r="21" spans="1:19" ht="41.15" customHeight="1" x14ac:dyDescent="0.45">
      <c r="A21" s="29"/>
      <c r="B21" s="29"/>
      <c r="C21" s="28"/>
    </row>
    <row r="22" spans="1:19" ht="31" x14ac:dyDescent="0.7">
      <c r="A22" s="29"/>
      <c r="B22" s="29"/>
      <c r="C22" s="28"/>
      <c r="G22" s="53" t="s">
        <v>14</v>
      </c>
      <c r="H22" s="53"/>
      <c r="I22" s="71">
        <f>SUM(A:A)</f>
        <v>0</v>
      </c>
      <c r="J22" s="72"/>
      <c r="K22" s="73" t="s">
        <v>15</v>
      </c>
      <c r="L22" s="73"/>
      <c r="M22" s="50">
        <f>((I5-I22)+I23+M6+M4)</f>
        <v>0</v>
      </c>
      <c r="N22" s="51"/>
    </row>
    <row r="23" spans="1:19" ht="31" x14ac:dyDescent="0.7">
      <c r="A23" s="29"/>
      <c r="B23" s="29"/>
      <c r="C23" s="28"/>
      <c r="G23" s="77" t="s">
        <v>16</v>
      </c>
      <c r="H23" s="78"/>
      <c r="I23" s="71">
        <f>SUMIFS(B:B,E:E,"Retiro yastas")</f>
        <v>0</v>
      </c>
      <c r="J23" s="72"/>
      <c r="K23" s="76" t="s">
        <v>17</v>
      </c>
      <c r="L23" s="76"/>
      <c r="M23" s="6">
        <f>((((I6-I23)+I22)-M6+M5)-I24-M24)-M3</f>
        <v>0</v>
      </c>
      <c r="N23" s="51"/>
    </row>
    <row r="24" spans="1:19" ht="31" x14ac:dyDescent="0.7">
      <c r="A24" s="29"/>
      <c r="B24" s="29"/>
      <c r="C24" s="28"/>
      <c r="G24" s="53" t="s">
        <v>18</v>
      </c>
      <c r="H24" s="53"/>
      <c r="I24" s="69">
        <f>SUMIFS(R:R,U:U,"Meli") - SUMIFS(Q:Q,U:U,"Meli")</f>
        <v>0</v>
      </c>
      <c r="J24" s="69"/>
      <c r="K24" s="76" t="s">
        <v>19</v>
      </c>
      <c r="L24" s="76"/>
      <c r="M24" s="11">
        <f>SUMIFS(R:R,U:U,"Tconecta R") - SUMIFS(Q:Q,U:U,"Tconecta D")</f>
        <v>0</v>
      </c>
    </row>
    <row r="25" spans="1:19" ht="25.9" customHeight="1" x14ac:dyDescent="0.7">
      <c r="A25" s="29"/>
      <c r="B25" s="29"/>
      <c r="C25" s="28"/>
      <c r="G25" s="53" t="s">
        <v>20</v>
      </c>
      <c r="H25" s="53"/>
      <c r="I25" s="69">
        <f>SUMIFS(Q:Q,U:U,"BN")-SUMIFS(R:R,U:U,"BN")</f>
        <v>0</v>
      </c>
      <c r="J25" s="69"/>
    </row>
    <row r="26" spans="1:19" ht="14.65" customHeight="1" x14ac:dyDescent="0.45">
      <c r="A26" s="29"/>
      <c r="B26" s="29"/>
      <c r="C26" s="28"/>
    </row>
    <row r="27" spans="1:19" ht="14.65" customHeight="1" x14ac:dyDescent="0.45">
      <c r="A27" s="29"/>
      <c r="B27" s="29"/>
      <c r="C27" s="28"/>
    </row>
    <row r="28" spans="1:19" ht="14.65" customHeight="1" x14ac:dyDescent="0.45">
      <c r="A28" s="29"/>
      <c r="B28" s="29"/>
      <c r="C28" s="28"/>
    </row>
    <row r="29" spans="1:19" ht="14.65" customHeight="1" x14ac:dyDescent="0.45">
      <c r="A29" s="29"/>
      <c r="B29" s="29"/>
      <c r="C29" s="28"/>
    </row>
    <row r="30" spans="1:19" ht="14.65" customHeight="1" x14ac:dyDescent="0.45">
      <c r="A30" s="29"/>
      <c r="B30" s="29"/>
      <c r="C30" s="28"/>
    </row>
    <row r="31" spans="1:19" ht="14.65" customHeight="1" x14ac:dyDescent="0.45">
      <c r="A31" s="29"/>
      <c r="B31" s="29"/>
      <c r="C31" s="28"/>
    </row>
    <row r="32" spans="1:19" ht="14.65" customHeight="1" x14ac:dyDescent="0.45">
      <c r="A32" s="29"/>
      <c r="B32" s="29"/>
      <c r="C32" s="28"/>
    </row>
    <row r="33" spans="1:3" ht="14.65" customHeight="1" x14ac:dyDescent="0.45">
      <c r="A33" s="29"/>
      <c r="B33" s="29"/>
      <c r="C33" s="28"/>
    </row>
    <row r="34" spans="1:3" ht="14.65" customHeight="1" x14ac:dyDescent="0.45">
      <c r="A34" s="29"/>
      <c r="B34" s="29"/>
      <c r="C34" s="28"/>
    </row>
    <row r="35" spans="1:3" ht="14.65" customHeight="1" x14ac:dyDescent="0.45">
      <c r="A35" s="29"/>
      <c r="B35" s="29"/>
      <c r="C35" s="28"/>
    </row>
    <row r="36" spans="1:3" ht="14.65" customHeight="1" x14ac:dyDescent="0.45">
      <c r="A36" s="29"/>
      <c r="B36" s="29"/>
      <c r="C36" s="28"/>
    </row>
    <row r="37" spans="1:3" ht="14.65" customHeight="1" x14ac:dyDescent="0.45">
      <c r="A37" s="29"/>
      <c r="B37" s="29"/>
      <c r="C37" s="28"/>
    </row>
    <row r="38" spans="1:3" ht="14.65" customHeight="1" x14ac:dyDescent="0.45">
      <c r="A38" s="29"/>
      <c r="B38" s="29"/>
      <c r="C38" s="28"/>
    </row>
    <row r="39" spans="1:3" ht="14.65" customHeight="1" x14ac:dyDescent="0.45">
      <c r="A39" s="29"/>
      <c r="B39" s="29"/>
      <c r="C39" s="28"/>
    </row>
    <row r="40" spans="1:3" ht="14.65" customHeight="1" x14ac:dyDescent="0.45">
      <c r="A40" s="29"/>
      <c r="B40" s="29"/>
      <c r="C40" s="28"/>
    </row>
    <row r="41" spans="1:3" ht="14.65" customHeight="1" x14ac:dyDescent="0.45">
      <c r="A41" s="29"/>
      <c r="B41" s="29"/>
      <c r="C41" s="28"/>
    </row>
    <row r="42" spans="1:3" ht="14.65" customHeight="1" x14ac:dyDescent="0.45">
      <c r="A42" s="29"/>
      <c r="B42" s="29"/>
      <c r="C42" s="28"/>
    </row>
    <row r="43" spans="1:3" ht="14.65" customHeight="1" x14ac:dyDescent="0.45">
      <c r="A43" s="29"/>
      <c r="B43" s="29"/>
      <c r="C43" s="28"/>
    </row>
    <row r="44" spans="1:3" ht="14.65" customHeight="1" x14ac:dyDescent="0.45">
      <c r="A44" s="29"/>
      <c r="B44" s="29"/>
      <c r="C44" s="28"/>
    </row>
    <row r="45" spans="1:3" ht="14.65" customHeight="1" x14ac:dyDescent="0.45">
      <c r="A45" s="29"/>
      <c r="B45" s="29"/>
      <c r="C45" s="28"/>
    </row>
    <row r="46" spans="1:3" ht="14.65" customHeight="1" x14ac:dyDescent="0.45">
      <c r="A46" s="29"/>
      <c r="C46" s="28"/>
    </row>
    <row r="47" spans="1:3" ht="14.65" customHeight="1" x14ac:dyDescent="0.45">
      <c r="A47" s="29"/>
      <c r="C47" s="28"/>
    </row>
    <row r="48" spans="1:3" ht="14.65" customHeight="1" x14ac:dyDescent="0.45">
      <c r="A48" s="29"/>
      <c r="C48" s="28"/>
    </row>
    <row r="49" spans="3:3" ht="14.65" customHeight="1" x14ac:dyDescent="0.45">
      <c r="C49" s="28"/>
    </row>
    <row r="50" spans="3:3" ht="14.65" customHeight="1" x14ac:dyDescent="0.45">
      <c r="C50" s="28"/>
    </row>
    <row r="51" spans="3:3" ht="14.65" customHeight="1" x14ac:dyDescent="0.45"/>
    <row r="52" spans="3:3" ht="14.65" customHeight="1" x14ac:dyDescent="0.45"/>
    <row r="53" spans="3:3" ht="14.65" customHeight="1" x14ac:dyDescent="0.45"/>
    <row r="54" spans="3:3" ht="14.65" customHeight="1" x14ac:dyDescent="0.45"/>
    <row r="55" spans="3:3" ht="14.65" customHeight="1" x14ac:dyDescent="0.45"/>
    <row r="56" spans="3:3" ht="14.65" customHeight="1" x14ac:dyDescent="0.45"/>
    <row r="57" spans="3:3" ht="14.65" customHeight="1" x14ac:dyDescent="0.45"/>
    <row r="58" spans="3:3" ht="14.65" customHeight="1" x14ac:dyDescent="0.45"/>
    <row r="59" spans="3:3" ht="14.65" customHeight="1" x14ac:dyDescent="0.45"/>
    <row r="60" spans="3:3" ht="14.65" customHeight="1" x14ac:dyDescent="0.45"/>
    <row r="61" spans="3:3" ht="14.65" customHeight="1" x14ac:dyDescent="0.45"/>
    <row r="62" spans="3:3" ht="14.65" customHeight="1" x14ac:dyDescent="0.45"/>
    <row r="63" spans="3:3" ht="14.65" customHeight="1" x14ac:dyDescent="0.45"/>
    <row r="64" spans="3:3" ht="14.65" customHeight="1" x14ac:dyDescent="0.45"/>
    <row r="65" ht="14.65" customHeight="1" x14ac:dyDescent="0.45"/>
    <row r="66" ht="14.65" customHeight="1" x14ac:dyDescent="0.45"/>
    <row r="67" ht="14.65" customHeight="1" x14ac:dyDescent="0.45"/>
    <row r="68" ht="14.65" customHeight="1" x14ac:dyDescent="0.45"/>
    <row r="69" ht="14.65" customHeight="1" x14ac:dyDescent="0.45"/>
    <row r="70" ht="14.65" customHeight="1" x14ac:dyDescent="0.45"/>
    <row r="71" ht="14.65" customHeight="1" x14ac:dyDescent="0.45"/>
    <row r="72" ht="14.65" customHeight="1" x14ac:dyDescent="0.45"/>
    <row r="73" ht="14.65" customHeight="1" x14ac:dyDescent="0.45"/>
    <row r="74" ht="14.65" customHeight="1" x14ac:dyDescent="0.45"/>
    <row r="75" ht="14.65" customHeight="1" x14ac:dyDescent="0.45"/>
    <row r="76" ht="14.65" customHeight="1" x14ac:dyDescent="0.45"/>
    <row r="77" ht="14.65" customHeight="1" x14ac:dyDescent="0.45"/>
    <row r="78" ht="14.65" customHeight="1" x14ac:dyDescent="0.45"/>
    <row r="79" ht="14.65" customHeight="1" x14ac:dyDescent="0.45"/>
    <row r="80" ht="14.65" customHeight="1" x14ac:dyDescent="0.45"/>
    <row r="81" ht="14.65" customHeight="1" x14ac:dyDescent="0.45"/>
    <row r="82" ht="14.65" customHeight="1" x14ac:dyDescent="0.45"/>
    <row r="83" ht="14.65" customHeight="1" x14ac:dyDescent="0.45"/>
    <row r="84" ht="14.65" customHeight="1" x14ac:dyDescent="0.45"/>
    <row r="85" ht="14.65" customHeight="1" x14ac:dyDescent="0.45"/>
    <row r="86" ht="14.65" customHeight="1" x14ac:dyDescent="0.45"/>
    <row r="87" ht="14.65" customHeight="1" x14ac:dyDescent="0.45"/>
    <row r="88" ht="14.65" customHeight="1" x14ac:dyDescent="0.45"/>
    <row r="89" ht="14.65" customHeight="1" x14ac:dyDescent="0.45"/>
    <row r="90" ht="14.65" customHeight="1" x14ac:dyDescent="0.45"/>
    <row r="91" ht="14.65" customHeight="1" x14ac:dyDescent="0.45"/>
    <row r="92" ht="14.65" customHeight="1" x14ac:dyDescent="0.45"/>
    <row r="93" ht="14.65" customHeight="1" x14ac:dyDescent="0.45"/>
    <row r="94" ht="14.65" customHeight="1" x14ac:dyDescent="0.45"/>
    <row r="95" ht="14.65" customHeight="1" x14ac:dyDescent="0.45"/>
    <row r="96" ht="14.65" customHeight="1" x14ac:dyDescent="0.45"/>
  </sheetData>
  <sheetProtection algorithmName="SHA-512" hashValue="ssv02/bv0eHH8N+BAJ7rrOrg5vO06cwnQv9mP7oFNpMHoKOfnRahsb6kOsAPlOEq+51Q1xVR2qtzjZFqMFsi1Q==" saltValue="xSBmNDbo4t6UPy+0N8gHFA==" spinCount="100000" sheet="1" objects="1" scenarios="1"/>
  <mergeCells count="24">
    <mergeCell ref="G25:H25"/>
    <mergeCell ref="I25:J25"/>
    <mergeCell ref="K24:L24"/>
    <mergeCell ref="I23:J23"/>
    <mergeCell ref="G23:H23"/>
    <mergeCell ref="K23:L23"/>
    <mergeCell ref="K9:L9"/>
    <mergeCell ref="G5:H5"/>
    <mergeCell ref="G6:H6"/>
    <mergeCell ref="G24:H24"/>
    <mergeCell ref="I24:J24"/>
    <mergeCell ref="K15:L15"/>
    <mergeCell ref="G22:H22"/>
    <mergeCell ref="I22:J22"/>
    <mergeCell ref="K22:L22"/>
    <mergeCell ref="K17:L17"/>
    <mergeCell ref="H2:L2"/>
    <mergeCell ref="K8:L8"/>
    <mergeCell ref="G7:H7"/>
    <mergeCell ref="K6:L6"/>
    <mergeCell ref="K5:L5"/>
    <mergeCell ref="K4:L4"/>
    <mergeCell ref="K7:L7"/>
    <mergeCell ref="K3:L3"/>
  </mergeCells>
  <conditionalFormatting sqref="K17">
    <cfRule type="cellIs" dxfId="24" priority="137" operator="greaterThan">
      <formula>0</formula>
    </cfRule>
    <cfRule type="cellIs" dxfId="23" priority="138" operator="lessThan">
      <formula>-1</formula>
    </cfRule>
  </conditionalFormatting>
  <conditionalFormatting sqref="M8">
    <cfRule type="cellIs" dxfId="22" priority="23" operator="greaterThan">
      <formula>$M$23</formula>
    </cfRule>
    <cfRule type="cellIs" dxfId="21" priority="24" operator="lessThan">
      <formula>$M$23</formula>
    </cfRule>
  </conditionalFormatting>
  <conditionalFormatting sqref="M9">
    <cfRule type="cellIs" dxfId="20" priority="21" operator="lessThan">
      <formula>$M$22</formula>
    </cfRule>
    <cfRule type="cellIs" dxfId="19" priority="22" operator="greaterThan">
      <formula>$M$22</formula>
    </cfRule>
  </conditionalFormatting>
  <conditionalFormatting sqref="M7">
    <cfRule type="cellIs" dxfId="18" priority="18" operator="greaterThan">
      <formula>$M$23</formula>
    </cfRule>
    <cfRule type="cellIs" dxfId="17" priority="19" operator="lessThan">
      <formula>$M$23</formula>
    </cfRule>
  </conditionalFormatting>
  <conditionalFormatting sqref="I24:J25">
    <cfRule type="cellIs" dxfId="16" priority="17" operator="lessThan">
      <formula>-1</formula>
    </cfRule>
  </conditionalFormatting>
  <conditionalFormatting sqref="U1:U3 U6:U1048576">
    <cfRule type="cellIs" dxfId="15" priority="15" operator="equal">
      <formula>"MELI"</formula>
    </cfRule>
    <cfRule type="cellIs" dxfId="14" priority="16" operator="equal">
      <formula>"BN"</formula>
    </cfRule>
  </conditionalFormatting>
  <conditionalFormatting sqref="E3">
    <cfRule type="cellIs" dxfId="13" priority="14" operator="equal">
      <formula>"Tconecta"</formula>
    </cfRule>
  </conditionalFormatting>
  <conditionalFormatting sqref="E1:E1048576">
    <cfRule type="cellIs" dxfId="12" priority="2" operator="equal">
      <formula>"Recarga Yastas"</formula>
    </cfRule>
    <cfRule type="cellIs" dxfId="11" priority="13" operator="equal">
      <formula>"Tconecta"</formula>
    </cfRule>
  </conditionalFormatting>
  <conditionalFormatting sqref="U4">
    <cfRule type="cellIs" dxfId="10" priority="12" operator="equal">
      <formula>"Tconecta"</formula>
    </cfRule>
  </conditionalFormatting>
  <conditionalFormatting sqref="U5">
    <cfRule type="cellIs" dxfId="9" priority="11" operator="equal">
      <formula>"Tconecta"</formula>
    </cfRule>
  </conditionalFormatting>
  <conditionalFormatting sqref="U5">
    <cfRule type="cellIs" dxfId="8" priority="10" operator="equal">
      <formula>"Tconecta"</formula>
    </cfRule>
  </conditionalFormatting>
  <conditionalFormatting sqref="U10">
    <cfRule type="cellIs" dxfId="7" priority="7" operator="equal">
      <formula>"Tconecta R"</formula>
    </cfRule>
    <cfRule type="cellIs" dxfId="6" priority="9" operator="equal">
      <formula>"TConecta R"</formula>
    </cfRule>
  </conditionalFormatting>
  <conditionalFormatting sqref="U12">
    <cfRule type="cellIs" dxfId="5" priority="6" operator="equal">
      <formula>"Tconecta D"</formula>
    </cfRule>
    <cfRule type="cellIs" dxfId="4" priority="8" operator="equal">
      <formula>"Tconecta D"</formula>
    </cfRule>
  </conditionalFormatting>
  <conditionalFormatting sqref="U1:U1048576">
    <cfRule type="cellIs" dxfId="3" priority="4" operator="equal">
      <formula>"Tconecta D"</formula>
    </cfRule>
    <cfRule type="cellIs" dxfId="2" priority="5" operator="equal">
      <formula>"Tconecta R"</formula>
    </cfRule>
  </conditionalFormatting>
  <conditionalFormatting sqref="M24">
    <cfRule type="cellIs" dxfId="1" priority="3" operator="lessThan">
      <formula>-1</formula>
    </cfRule>
  </conditionalFormatting>
  <conditionalFormatting sqref="I24:J24">
    <cfRule type="cellIs" dxfId="0" priority="1" operator="greaterThan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E0B881-765E-454E-B64F-0A7C92801AC0}">
  <sheetPr codeName="Hoja3"/>
  <dimension ref="A1:L18"/>
  <sheetViews>
    <sheetView workbookViewId="0">
      <selection activeCell="A8" sqref="A8"/>
    </sheetView>
  </sheetViews>
  <sheetFormatPr baseColWidth="10" defaultRowHeight="14.5" x14ac:dyDescent="0.35"/>
  <cols>
    <col min="1" max="1" width="18.08984375" bestFit="1" customWidth="1"/>
  </cols>
  <sheetData>
    <row r="1" spans="1:12" x14ac:dyDescent="0.35">
      <c r="A1" t="s">
        <v>27</v>
      </c>
      <c r="B1">
        <v>1000</v>
      </c>
      <c r="C1">
        <v>500</v>
      </c>
      <c r="D1">
        <v>200</v>
      </c>
      <c r="E1">
        <v>100</v>
      </c>
      <c r="F1">
        <v>50</v>
      </c>
      <c r="G1">
        <v>20</v>
      </c>
      <c r="H1">
        <v>10</v>
      </c>
      <c r="I1">
        <v>5</v>
      </c>
      <c r="J1">
        <v>2</v>
      </c>
      <c r="K1">
        <v>1</v>
      </c>
      <c r="L1" t="s">
        <v>3</v>
      </c>
    </row>
    <row r="2" spans="1:12" x14ac:dyDescent="0.35">
      <c r="A2" s="18"/>
    </row>
    <row r="3" spans="1:12" x14ac:dyDescent="0.35">
      <c r="A3" s="18"/>
    </row>
    <row r="4" spans="1:12" x14ac:dyDescent="0.35">
      <c r="A4" s="18"/>
    </row>
    <row r="5" spans="1:12" x14ac:dyDescent="0.35">
      <c r="A5" s="18"/>
    </row>
    <row r="6" spans="1:12" x14ac:dyDescent="0.35">
      <c r="A6" s="18"/>
    </row>
    <row r="7" spans="1:12" x14ac:dyDescent="0.35">
      <c r="A7" s="18"/>
    </row>
    <row r="8" spans="1:12" x14ac:dyDescent="0.35">
      <c r="A8" s="18"/>
    </row>
    <row r="9" spans="1:12" x14ac:dyDescent="0.35">
      <c r="A9" s="18"/>
    </row>
    <row r="10" spans="1:12" x14ac:dyDescent="0.35">
      <c r="A10" s="18"/>
    </row>
    <row r="11" spans="1:12" x14ac:dyDescent="0.35">
      <c r="A11" s="18"/>
    </row>
    <row r="12" spans="1:12" x14ac:dyDescent="0.35">
      <c r="A12" s="18"/>
    </row>
    <row r="13" spans="1:12" x14ac:dyDescent="0.35">
      <c r="A13" s="18"/>
    </row>
    <row r="14" spans="1:12" x14ac:dyDescent="0.35">
      <c r="A14" s="18"/>
    </row>
    <row r="15" spans="1:12" x14ac:dyDescent="0.35">
      <c r="A15" s="18"/>
    </row>
    <row r="16" spans="1:12" x14ac:dyDescent="0.35">
      <c r="A16" s="18"/>
    </row>
    <row r="17" spans="1:1" x14ac:dyDescent="0.35">
      <c r="A17" s="18"/>
    </row>
    <row r="18" spans="1:1" x14ac:dyDescent="0.35">
      <c r="A18" s="18"/>
    </row>
  </sheetData>
  <sheetProtection algorithmName="SHA-512" hashValue="fAvqP0iYk2eNJ/lv7Y1rzDH1mUDyz0/PMA7fmsPTO1JOHx9+bq7UiiwNZYsW5zqhrIT75CkrHibt0kNJSxo39A==" saltValue="cM4e78UwlFv+vLLc7KCPWw==" spinCount="100000"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45C59-4051-4B94-8D6A-7423D31FB5F7}">
  <sheetPr codeName="Hoja2"/>
  <dimension ref="C4:F16"/>
  <sheetViews>
    <sheetView workbookViewId="0">
      <selection activeCell="D7" sqref="D7:E7"/>
    </sheetView>
  </sheetViews>
  <sheetFormatPr baseColWidth="10" defaultColWidth="10.54296875" defaultRowHeight="14.5" x14ac:dyDescent="0.35"/>
  <cols>
    <col min="3" max="3" width="16.453125" customWidth="1"/>
    <col min="4" max="4" width="25.453125" customWidth="1"/>
    <col min="6" max="6" width="19.453125" bestFit="1" customWidth="1"/>
  </cols>
  <sheetData>
    <row r="4" spans="3:6" ht="26" x14ac:dyDescent="0.6">
      <c r="C4" s="82" t="s">
        <v>21</v>
      </c>
      <c r="D4" s="82"/>
      <c r="E4" s="82"/>
      <c r="F4" s="82"/>
    </row>
    <row r="7" spans="3:6" ht="31" x14ac:dyDescent="0.7">
      <c r="C7" s="1" t="s">
        <v>22</v>
      </c>
      <c r="D7" s="79"/>
      <c r="E7" s="79"/>
    </row>
    <row r="10" spans="3:6" ht="23.5" x14ac:dyDescent="0.55000000000000004">
      <c r="C10" s="4" t="s">
        <v>23</v>
      </c>
      <c r="F10" s="5" t="s">
        <v>24</v>
      </c>
    </row>
    <row r="11" spans="3:6" ht="23.5" x14ac:dyDescent="0.55000000000000004">
      <c r="C11" s="3">
        <f>(D7*0.04)+D7</f>
        <v>0</v>
      </c>
      <c r="F11" s="3">
        <f>(D7*0.16)+D7</f>
        <v>0</v>
      </c>
    </row>
    <row r="13" spans="3:6" ht="26" x14ac:dyDescent="0.6">
      <c r="D13" s="80" t="s">
        <v>25</v>
      </c>
      <c r="E13" s="80"/>
    </row>
    <row r="14" spans="3:6" ht="26" x14ac:dyDescent="0.6">
      <c r="D14" s="81">
        <f>(F11*0.04)+F11</f>
        <v>0</v>
      </c>
      <c r="E14" s="81"/>
    </row>
    <row r="16" spans="3:6" x14ac:dyDescent="0.35">
      <c r="D16" s="2"/>
      <c r="E16" s="2"/>
    </row>
  </sheetData>
  <sheetProtection algorithmName="SHA-512" hashValue="iqR3SKy/pwmB0ZX0rfJQqnVtF7ICXNcEi1AqaZguLrjmUBgQRfi5G4PifMvbVRs4CXtMivwTtWOzLYTIMJaI4Q==" saltValue="RwMRtrUZDog9eLai1/xeNQ==" spinCount="100000" sheet="1" objects="1" scenarios="1"/>
  <protectedRanges>
    <protectedRange sqref="D7:E7" name="Rango1"/>
  </protectedRanges>
  <mergeCells count="4">
    <mergeCell ref="D7:E7"/>
    <mergeCell ref="D13:E13"/>
    <mergeCell ref="D14:E14"/>
    <mergeCell ref="C4:F4"/>
  </mergeCells>
  <pageMargins left="0.7" right="0.7" top="0.75" bottom="0.75" header="0.3" footer="0.3"/>
  <pageSetup paperSize="9" orientation="portrait" horizontalDpi="203" verticalDpi="203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contador</vt:lpstr>
      <vt:lpstr>billetes</vt:lpstr>
      <vt:lpstr>terminal tarjeta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leticia del socorro rabelo ortiz</dc:creator>
  <cp:keywords/>
  <dc:description/>
  <cp:lastModifiedBy>ESCOBAR RABELO MIGUEL ANGEL</cp:lastModifiedBy>
  <cp:revision/>
  <dcterms:created xsi:type="dcterms:W3CDTF">2024-10-31T21:22:57Z</dcterms:created>
  <dcterms:modified xsi:type="dcterms:W3CDTF">2026-06-22T20:30:06Z</dcterms:modified>
  <cp:category/>
  <cp:contentStatus/>
</cp:coreProperties>
</file>